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ustomers" sheetId="2" state="visible" r:id="rId2"/>
    <sheet xmlns:r="http://schemas.openxmlformats.org/officeDocument/2006/relationships" name="Monthly Trends" sheetId="3" state="visible" r:id="rId3"/>
    <sheet xmlns:r="http://schemas.openxmlformats.org/officeDocument/2006/relationships" name="README" sheetId="4" state="visible" r:id="rId4"/>
  </sheets>
  <definedNames>
    <definedName name="_xlnm._FilterDatabase" localSheetId="1" hidden="1">'Customers'!$A$1:$J$21</definedName>
  </definedNames>
  <calcPr calcId="124519" fullCalcOnLoad="1"/>
</workbook>
</file>

<file path=xl/styles.xml><?xml version="1.0" encoding="utf-8"?>
<styleSheet xmlns="http://schemas.openxmlformats.org/spreadsheetml/2006/main">
  <numFmts count="5">
    <numFmt numFmtId="164" formatCode="$#,##0"/>
    <numFmt numFmtId="165" formatCode="0.0%"/>
    <numFmt numFmtId="166" formatCode="0.0"/>
    <numFmt numFmtId="167" formatCode="yyyy-mm-dd"/>
    <numFmt numFmtId="168" formatCode="dd-mmm-yyyy"/>
  </numFmts>
  <fonts count="8">
    <font>
      <name val="Calibri"/>
      <family val="2"/>
      <color theme="1"/>
      <sz val="11"/>
      <scheme val="minor"/>
    </font>
    <font>
      <b val="1"/>
      <color rgb="00FFFFFF"/>
      <sz val="22"/>
    </font>
    <font>
      <i val="1"/>
      <color rgb="00595959"/>
    </font>
    <font>
      <b val="1"/>
      <color rgb="00FFFFFF"/>
    </font>
    <font>
      <b val="1"/>
      <color rgb="00FFFFFF"/>
      <sz val="18"/>
    </font>
    <font>
      <b val="1"/>
      <color rgb="0017324D"/>
      <sz val="14"/>
    </font>
    <font>
      <b val="1"/>
      <color rgb="0017324D"/>
    </font>
    <font>
      <b val="1"/>
      <color rgb="00FFFFFF"/>
      <sz val="20"/>
    </font>
  </fonts>
  <fills count="8">
    <fill>
      <patternFill/>
    </fill>
    <fill>
      <patternFill patternType="gray125"/>
    </fill>
    <fill>
      <patternFill patternType="solid">
        <fgColor rgb="0017324D"/>
      </patternFill>
    </fill>
    <fill>
      <patternFill patternType="solid">
        <fgColor rgb="002F75B5"/>
      </patternFill>
    </fill>
    <fill>
      <patternFill patternType="solid">
        <fgColor rgb="0070AD47"/>
      </patternFill>
    </fill>
    <fill>
      <patternFill patternType="solid">
        <fgColor rgb="00ED7D31"/>
      </patternFill>
    </fill>
    <fill>
      <patternFill patternType="solid">
        <fgColor rgb="00F2F2F2"/>
      </patternFill>
    </fill>
    <fill>
      <patternFill patternType="solid">
        <fgColor rgb="00FFFFFF"/>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3" fillId="3" borderId="0" applyAlignment="1" pivotButton="0" quotePrefix="0" xfId="0">
      <alignment horizontal="center" vertical="center"/>
    </xf>
    <xf numFmtId="0" fontId="3" fillId="4" borderId="0" applyAlignment="1" pivotButton="0" quotePrefix="0" xfId="0">
      <alignment horizontal="center" vertical="center"/>
    </xf>
    <xf numFmtId="0" fontId="3" fillId="5" borderId="0" applyAlignment="1" pivotButton="0" quotePrefix="0" xfId="0">
      <alignment horizontal="center" vertical="center"/>
    </xf>
    <xf numFmtId="0" fontId="3" fillId="2" borderId="0" applyAlignment="1" pivotButton="0" quotePrefix="0" xfId="0">
      <alignment horizontal="center" vertical="center"/>
    </xf>
    <xf numFmtId="1" fontId="4" fillId="3" borderId="0" applyAlignment="1" pivotButton="0" quotePrefix="0" xfId="0">
      <alignment horizontal="center" vertical="center"/>
    </xf>
    <xf numFmtId="1" fontId="4" fillId="4" borderId="0" applyAlignment="1" pivotButton="0" quotePrefix="0" xfId="0">
      <alignment horizontal="center" vertical="center"/>
    </xf>
    <xf numFmtId="1" fontId="4" fillId="5" borderId="0" applyAlignment="1" pivotButton="0" quotePrefix="0" xfId="0">
      <alignment horizontal="center" vertical="center"/>
    </xf>
    <xf numFmtId="164" fontId="4" fillId="2" borderId="0" applyAlignment="1" pivotButton="0" quotePrefix="0" xfId="0">
      <alignment horizontal="center" vertical="center"/>
    </xf>
    <xf numFmtId="0" fontId="5" fillId="0" borderId="0" pivotButton="0" quotePrefix="0" xfId="0"/>
    <xf numFmtId="0" fontId="6" fillId="6" borderId="0" pivotButton="0" quotePrefix="0" xfId="0"/>
    <xf numFmtId="165" fontId="0" fillId="7" borderId="0" pivotButton="0" quotePrefix="0" xfId="0"/>
    <xf numFmtId="0" fontId="3" fillId="3" borderId="0" pivotButton="0" quotePrefix="0" xfId="0"/>
    <xf numFmtId="166" fontId="0" fillId="7" borderId="0" pivotButton="0" quotePrefix="0" xfId="0"/>
    <xf numFmtId="165" fontId="0" fillId="0" borderId="0" pivotButton="0" quotePrefix="0" xfId="0"/>
    <xf numFmtId="166" fontId="0" fillId="0" borderId="0" pivotButton="0" quotePrefix="0" xfId="0"/>
    <xf numFmtId="1" fontId="0" fillId="7" borderId="0" pivotButton="0" quotePrefix="0" xfId="0"/>
    <xf numFmtId="0" fontId="0" fillId="0" borderId="0" applyAlignment="1" pivotButton="0" quotePrefix="0" xfId="0">
      <alignment vertical="top" wrapText="1"/>
    </xf>
    <xf numFmtId="0" fontId="3" fillId="2" borderId="0" applyAlignment="1" pivotButton="0" quotePrefix="0" xfId="0">
      <alignment horizontal="center"/>
    </xf>
    <xf numFmtId="164" fontId="0" fillId="0" borderId="0" pivotButton="0" quotePrefix="0" xfId="0"/>
    <xf numFmtId="168" fontId="0" fillId="0" borderId="0" pivotButton="0" quotePrefix="0" xfId="0"/>
    <xf numFmtId="0" fontId="3" fillId="2" borderId="0" pivotButton="0" quotePrefix="0" xfId="0"/>
    <xf numFmtId="0" fontId="7" fillId="2" borderId="0" applyAlignment="1" pivotButton="0" quotePrefix="0" xfId="0">
      <alignment horizontal="center" vertical="center"/>
    </xf>
    <xf numFmtId="0" fontId="6" fillId="0" borderId="0" pivotButton="0" quotePrefix="0" xfId="0"/>
    <xf numFmtId="0" fontId="0" fillId="0" borderId="0" applyAlignment="1" pivotButton="0" quotePrefix="0" xfId="0">
      <alignment wrapText="1"/>
    </xf>
  </cellXfs>
  <cellStyles count="1">
    <cellStyle name="Normal" xfId="0" builtinId="0" hidden="0"/>
  </cellStyles>
  <dxfs count="2">
    <dxf>
      <fill>
        <patternFill patternType="solid">
          <fgColor rgb="00F4CCCC"/>
        </patternFill>
      </fill>
    </dxf>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Customer Health</a:t>
            </a:r>
          </a:p>
        </rich>
      </tx>
    </title>
    <plotArea>
      <barChart>
        <barDir val="col"/>
        <grouping val="clustered"/>
        <ser>
          <idx val="0"/>
          <order val="0"/>
          <tx>
            <strRef>
              <f>'Dashboard'!B16</f>
            </strRef>
          </tx>
          <spPr>
            <a:ln xmlns:a="http://schemas.openxmlformats.org/drawingml/2006/main">
              <a:prstDash val="solid"/>
            </a:ln>
          </spPr>
          <cat>
            <numRef>
              <f>'Dashboard'!$A$17:$A$18</f>
            </numRef>
          </cat>
          <val>
            <numRef>
              <f>'Dashboard'!$B$17:$B$18</f>
            </numRef>
          </val>
        </ser>
        <dLbls>
          <showVal val="1"/>
        </dLbls>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Accounts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Retention Trend</a:t>
            </a:r>
          </a:p>
        </rich>
      </tx>
    </title>
    <plotArea>
      <lineChart>
        <grouping val="standard"/>
        <ser>
          <idx val="0"/>
          <order val="0"/>
          <tx>
            <strRef>
              <f>'Dashboard'!F10</f>
            </strRef>
          </tx>
          <spPr>
            <a:ln xmlns:a="http://schemas.openxmlformats.org/drawingml/2006/main">
              <a:prstDash val="solid"/>
            </a:ln>
          </spPr>
          <marker>
            <symbol val="none"/>
            <spPr>
              <a:ln xmlns:a="http://schemas.openxmlformats.org/drawingml/2006/main">
                <a:prstDash val="solid"/>
              </a:ln>
            </spPr>
          </marker>
          <cat>
            <numRef>
              <f>'Dashboard'!$D$11:$D$16</f>
            </numRef>
          </cat>
          <val>
            <numRef>
              <f>'Dashboard'!$F$11:$F$16</f>
            </numRef>
          </val>
        </ser>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Retention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3</col>
      <colOff>0</colOff>
      <row>16</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16</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25"/>
  <sheetViews>
    <sheetView workbookViewId="0">
      <pane ySplit="4" topLeftCell="A5"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CUSTOMER SUCCESS DASHBOARD</t>
        </is>
      </c>
    </row>
    <row r="2"/>
    <row r="3">
      <c r="A3" s="2" t="inlineStr">
        <is>
          <t>Fictional sample portfolio • Excel analytics project for GitHub</t>
        </is>
      </c>
    </row>
    <row r="5">
      <c r="A5" s="3" t="inlineStr">
        <is>
          <t>Total Customers</t>
        </is>
      </c>
      <c r="D5" s="4" t="inlineStr">
        <is>
          <t>Healthy Accounts</t>
        </is>
      </c>
      <c r="G5" s="5" t="inlineStr">
        <is>
          <t>At-Risk Accounts</t>
        </is>
      </c>
      <c r="J5" s="6" t="inlineStr">
        <is>
          <t>Annual Contract Value</t>
        </is>
      </c>
    </row>
    <row r="6">
      <c r="A6" s="7">
        <f>COUNTA(Customers!B2:B21)</f>
        <v/>
      </c>
      <c r="D6" s="8">
        <f>COUNTIF(Customers!D2:D21,"Healthy")</f>
        <v/>
      </c>
      <c r="G6" s="9">
        <f>COUNTIF(Customers!D2:D21,"At Risk")</f>
        <v/>
      </c>
      <c r="J6" s="10">
        <f>SUM(Customers!E2:E21)</f>
        <v/>
      </c>
    </row>
    <row r="7"/>
    <row r="9">
      <c r="A9" s="11" t="inlineStr">
        <is>
          <t>Portfolio Metrics</t>
        </is>
      </c>
      <c r="D9" s="11" t="inlineStr">
        <is>
          <t>Monthly Trends</t>
        </is>
      </c>
    </row>
    <row r="10">
      <c r="A10" s="12" t="inlineStr">
        <is>
          <t>Retention Rate</t>
        </is>
      </c>
      <c r="B10" s="13">
        <f>1-(COUNTIF(Customers!D2:D21,"At Risk")/COUNTA(Customers!B2:B21))</f>
        <v/>
      </c>
      <c r="D10" s="14" t="inlineStr">
        <is>
          <t>Month</t>
        </is>
      </c>
      <c r="E10" s="14" t="inlineStr">
        <is>
          <t>Active Customers</t>
        </is>
      </c>
      <c r="F10" s="14" t="inlineStr">
        <is>
          <t>Retention %</t>
        </is>
      </c>
      <c r="G10" s="14" t="inlineStr">
        <is>
          <t>Avg CSAT</t>
        </is>
      </c>
      <c r="H10" s="14" t="inlineStr">
        <is>
          <t>Tickets</t>
        </is>
      </c>
      <c r="I10" s="14" t="inlineStr">
        <is>
          <t>Avg Resolution Hrs</t>
        </is>
      </c>
    </row>
    <row r="11">
      <c r="A11" s="12" t="inlineStr">
        <is>
          <t>Average CSAT</t>
        </is>
      </c>
      <c r="B11" s="15">
        <f>AVERAGE(Customers!H2:H21)</f>
        <v/>
      </c>
      <c r="D11" t="inlineStr">
        <is>
          <t>Apr</t>
        </is>
      </c>
      <c r="E11" t="n">
        <v>96</v>
      </c>
      <c r="F11" s="16" t="n">
        <v>0.95</v>
      </c>
      <c r="G11" s="17" t="n">
        <v>4.2</v>
      </c>
      <c r="H11" t="n">
        <v>210</v>
      </c>
      <c r="I11" s="17" t="n">
        <v>8</v>
      </c>
    </row>
    <row r="12">
      <c r="A12" s="12" t="inlineStr">
        <is>
          <t>Open Support Tickets</t>
        </is>
      </c>
      <c r="B12" s="18">
        <f>SUM(Customers!G2:G21)</f>
        <v/>
      </c>
      <c r="D12" t="inlineStr">
        <is>
          <t>May</t>
        </is>
      </c>
      <c r="E12" t="n">
        <v>98</v>
      </c>
      <c r="F12" s="16" t="n">
        <v>0.96</v>
      </c>
      <c r="G12" s="17" t="n">
        <v>4.3</v>
      </c>
      <c r="H12" t="n">
        <v>218</v>
      </c>
      <c r="I12" s="17" t="n">
        <v>7.4</v>
      </c>
    </row>
    <row r="13">
      <c r="A13" s="12" t="inlineStr">
        <is>
          <t>Avg Resolution Time</t>
        </is>
      </c>
      <c r="B13" s="15">
        <f>AVERAGE(Customers!I2:I21)</f>
        <v/>
      </c>
      <c r="D13" t="inlineStr">
        <is>
          <t>Jun</t>
        </is>
      </c>
      <c r="E13" t="n">
        <v>101</v>
      </c>
      <c r="F13" s="16" t="n">
        <v>0.97</v>
      </c>
      <c r="G13" s="17" t="n">
        <v>4.4</v>
      </c>
      <c r="H13" t="n">
        <v>226</v>
      </c>
      <c r="I13" s="17" t="n">
        <v>6.9</v>
      </c>
    </row>
    <row r="14">
      <c r="A14" s="12" t="inlineStr">
        <is>
          <t>Renewals Due &lt; 90 Days</t>
        </is>
      </c>
      <c r="B14" s="18">
        <f>COUNTIF(Customers!J2:J21,"&lt;="&amp;TODAY()+90)</f>
        <v/>
      </c>
      <c r="D14" t="inlineStr">
        <is>
          <t>Jul</t>
        </is>
      </c>
      <c r="E14" t="n">
        <v>104</v>
      </c>
      <c r="F14" s="16" t="n">
        <v>0.975</v>
      </c>
      <c r="G14" s="17" t="n">
        <v>4.5</v>
      </c>
      <c r="H14" t="n">
        <v>234</v>
      </c>
      <c r="I14" s="17" t="n">
        <v>6.4</v>
      </c>
    </row>
    <row r="15">
      <c r="D15" t="inlineStr">
        <is>
          <t>Aug</t>
        </is>
      </c>
      <c r="E15" t="n">
        <v>107</v>
      </c>
      <c r="F15" s="16" t="n">
        <v>0.98</v>
      </c>
      <c r="G15" s="17" t="n">
        <v>4.6</v>
      </c>
      <c r="H15" t="n">
        <v>242</v>
      </c>
      <c r="I15" s="17" t="n">
        <v>5.9</v>
      </c>
    </row>
    <row r="16">
      <c r="A16" t="inlineStr">
        <is>
          <t>Health Status</t>
        </is>
      </c>
      <c r="B16" t="inlineStr">
        <is>
          <t>Accounts</t>
        </is>
      </c>
      <c r="D16" t="inlineStr">
        <is>
          <t>Sep</t>
        </is>
      </c>
      <c r="E16" t="n">
        <v>110</v>
      </c>
      <c r="F16" s="16" t="n">
        <v>0.985</v>
      </c>
      <c r="G16" s="17" t="n">
        <v>4.7</v>
      </c>
      <c r="H16" t="n">
        <v>250</v>
      </c>
      <c r="I16" s="17" t="n">
        <v>5.5</v>
      </c>
    </row>
    <row r="17">
      <c r="A17" t="inlineStr">
        <is>
          <t>Healthy</t>
        </is>
      </c>
      <c r="B17">
        <f>COUNTIF(Customers!D2:D21,"Healthy")</f>
        <v/>
      </c>
    </row>
    <row r="18">
      <c r="A18" t="inlineStr">
        <is>
          <t>At Risk</t>
        </is>
      </c>
      <c r="B18">
        <f>COUNTIF(Customers!D2:D21,"At Risk")</f>
        <v/>
      </c>
    </row>
    <row r="22">
      <c r="A22" s="11" t="inlineStr">
        <is>
          <t>Dashboard Purpose</t>
        </is>
      </c>
    </row>
    <row r="23">
      <c r="A23" s="19" t="inlineStr">
        <is>
          <t>This portfolio project demonstrates practical Customer Success analytics using fictional data. It tracks customer health, retention, CSAT, support workload, resolution time, contract value, and upcoming renewals to support proactive account management.</t>
        </is>
      </c>
    </row>
    <row r="24"/>
    <row r="25"/>
  </sheetData>
  <mergeCells count="11">
    <mergeCell ref="J5:L5"/>
    <mergeCell ref="A6:C7"/>
    <mergeCell ref="G6:I7"/>
    <mergeCell ref="D6:F7"/>
    <mergeCell ref="J6:L7"/>
    <mergeCell ref="A23:L25"/>
    <mergeCell ref="D5:F5"/>
    <mergeCell ref="A5:C5"/>
    <mergeCell ref="G5:I5"/>
    <mergeCell ref="A1:L2"/>
    <mergeCell ref="A3:L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5" customWidth="1" min="3" max="3"/>
    <col width="15" customWidth="1" min="4" max="4"/>
    <col width="23" customWidth="1" min="5" max="5"/>
    <col width="15" customWidth="1" min="6" max="6"/>
    <col width="17" customWidth="1" min="7" max="7"/>
    <col width="15" customWidth="1" min="8" max="8"/>
    <col width="22" customWidth="1" min="9" max="9"/>
    <col width="15" customWidth="1" min="10" max="10"/>
  </cols>
  <sheetData>
    <row r="1">
      <c r="A1" s="20" t="inlineStr">
        <is>
          <t>Customer ID</t>
        </is>
      </c>
      <c r="B1" s="20" t="inlineStr">
        <is>
          <t>Customer</t>
        </is>
      </c>
      <c r="C1" s="20" t="inlineStr">
        <is>
          <t>Segment</t>
        </is>
      </c>
      <c r="D1" s="20" t="inlineStr">
        <is>
          <t>Health Status</t>
        </is>
      </c>
      <c r="E1" s="20" t="inlineStr">
        <is>
          <t>Annual Contract Value</t>
        </is>
      </c>
      <c r="F1" s="20" t="inlineStr">
        <is>
          <t>Health Score</t>
        </is>
      </c>
      <c r="G1" s="20" t="inlineStr">
        <is>
          <t>Support Tickets</t>
        </is>
      </c>
      <c r="H1" s="20" t="inlineStr">
        <is>
          <t>CSAT</t>
        </is>
      </c>
      <c r="I1" s="20" t="inlineStr">
        <is>
          <t>Avg Resolution (hrs)</t>
        </is>
      </c>
      <c r="J1" s="20" t="inlineStr">
        <is>
          <t>Renewal Date</t>
        </is>
      </c>
    </row>
    <row r="2">
      <c r="A2" t="inlineStr">
        <is>
          <t>CS-001</t>
        </is>
      </c>
      <c r="B2" t="inlineStr">
        <is>
          <t>Atlas Retail</t>
        </is>
      </c>
      <c r="C2" t="inlineStr">
        <is>
          <t>Enterprise</t>
        </is>
      </c>
      <c r="D2" t="inlineStr">
        <is>
          <t>Healthy</t>
        </is>
      </c>
      <c r="E2" s="21" t="n">
        <v>145000</v>
      </c>
      <c r="F2" t="n">
        <v>92</v>
      </c>
      <c r="G2" t="n">
        <v>12</v>
      </c>
      <c r="H2" s="17" t="n">
        <v>4.6</v>
      </c>
      <c r="I2" s="17" t="n">
        <v>2.1</v>
      </c>
      <c r="J2" s="22" t="n">
        <v>46402</v>
      </c>
    </row>
    <row r="3">
      <c r="A3" t="inlineStr">
        <is>
          <t>CS-002</t>
        </is>
      </c>
      <c r="B3" t="inlineStr">
        <is>
          <t>Nova Health</t>
        </is>
      </c>
      <c r="C3" t="inlineStr">
        <is>
          <t>Mid-Market</t>
        </is>
      </c>
      <c r="D3" t="inlineStr">
        <is>
          <t>Healthy</t>
        </is>
      </c>
      <c r="E3" s="21" t="n">
        <v>82000</v>
      </c>
      <c r="F3" t="n">
        <v>88</v>
      </c>
      <c r="G3" t="n">
        <v>8</v>
      </c>
      <c r="H3" s="17" t="n">
        <v>4.5</v>
      </c>
      <c r="I3" s="17" t="n">
        <v>2.8</v>
      </c>
      <c r="J3" s="22" t="n">
        <v>46366</v>
      </c>
    </row>
    <row r="4">
      <c r="A4" t="inlineStr">
        <is>
          <t>CS-003</t>
        </is>
      </c>
      <c r="B4" t="inlineStr">
        <is>
          <t>Pioneer Finance</t>
        </is>
      </c>
      <c r="C4" t="inlineStr">
        <is>
          <t>Enterprise</t>
        </is>
      </c>
      <c r="D4" t="inlineStr">
        <is>
          <t>At Risk</t>
        </is>
      </c>
      <c r="E4" s="21" t="n">
        <v>168000</v>
      </c>
      <c r="F4" t="n">
        <v>61</v>
      </c>
      <c r="G4" t="n">
        <v>24</v>
      </c>
      <c r="H4" s="17" t="n">
        <v>3.8</v>
      </c>
      <c r="I4" s="17" t="n">
        <v>6.4</v>
      </c>
      <c r="J4" s="22" t="n">
        <v>46317</v>
      </c>
    </row>
    <row r="5">
      <c r="A5" t="inlineStr">
        <is>
          <t>CS-004</t>
        </is>
      </c>
      <c r="B5" t="inlineStr">
        <is>
          <t>Vertex Media</t>
        </is>
      </c>
      <c r="C5" t="inlineStr">
        <is>
          <t>Mid-Market</t>
        </is>
      </c>
      <c r="D5" t="inlineStr">
        <is>
          <t>Healthy</t>
        </is>
      </c>
      <c r="E5" s="21" t="n">
        <v>69000</v>
      </c>
      <c r="F5" t="n">
        <v>90</v>
      </c>
      <c r="G5" t="n">
        <v>10</v>
      </c>
      <c r="H5" s="17" t="n">
        <v>4.7</v>
      </c>
      <c r="I5" s="17" t="n">
        <v>2.3</v>
      </c>
      <c r="J5" s="22" t="n">
        <v>46451</v>
      </c>
    </row>
    <row r="6">
      <c r="A6" t="inlineStr">
        <is>
          <t>CS-005</t>
        </is>
      </c>
      <c r="B6" t="inlineStr">
        <is>
          <t>Summit Logistics</t>
        </is>
      </c>
      <c r="C6" t="inlineStr">
        <is>
          <t>Enterprise</t>
        </is>
      </c>
      <c r="D6" t="inlineStr">
        <is>
          <t>At Risk</t>
        </is>
      </c>
      <c r="E6" s="21" t="n">
        <v>124000</v>
      </c>
      <c r="F6" t="n">
        <v>58</v>
      </c>
      <c r="G6" t="n">
        <v>31</v>
      </c>
      <c r="H6" s="17" t="n">
        <v>3.6</v>
      </c>
      <c r="I6" s="17" t="n">
        <v>7.2</v>
      </c>
      <c r="J6" s="22" t="n">
        <v>46344</v>
      </c>
    </row>
    <row r="7">
      <c r="A7" t="inlineStr">
        <is>
          <t>CS-006</t>
        </is>
      </c>
      <c r="B7" t="inlineStr">
        <is>
          <t>Bright Foods</t>
        </is>
      </c>
      <c r="C7" t="inlineStr">
        <is>
          <t>SMB</t>
        </is>
      </c>
      <c r="D7" t="inlineStr">
        <is>
          <t>Healthy</t>
        </is>
      </c>
      <c r="E7" s="21" t="n">
        <v>31000</v>
      </c>
      <c r="F7" t="n">
        <v>85</v>
      </c>
      <c r="G7" t="n">
        <v>6</v>
      </c>
      <c r="H7" s="17" t="n">
        <v>4.4</v>
      </c>
      <c r="I7" s="17" t="n">
        <v>3.1</v>
      </c>
      <c r="J7" s="22" t="n">
        <v>46446</v>
      </c>
    </row>
    <row r="8">
      <c r="A8" t="inlineStr">
        <is>
          <t>CS-007</t>
        </is>
      </c>
      <c r="B8" t="inlineStr">
        <is>
          <t>Urban Mobility</t>
        </is>
      </c>
      <c r="C8" t="inlineStr">
        <is>
          <t>Mid-Market</t>
        </is>
      </c>
      <c r="D8" t="inlineStr">
        <is>
          <t>Healthy</t>
        </is>
      </c>
      <c r="E8" s="21" t="n">
        <v>76000</v>
      </c>
      <c r="F8" t="n">
        <v>94</v>
      </c>
      <c r="G8" t="n">
        <v>14</v>
      </c>
      <c r="H8" s="17" t="n">
        <v>4.8</v>
      </c>
      <c r="I8" s="17" t="n">
        <v>1.9</v>
      </c>
      <c r="J8" s="22" t="n">
        <v>46489</v>
      </c>
    </row>
    <row r="9">
      <c r="A9" t="inlineStr">
        <is>
          <t>CS-008</t>
        </is>
      </c>
      <c r="B9" t="inlineStr">
        <is>
          <t>Clearwater Energy</t>
        </is>
      </c>
      <c r="C9" t="inlineStr">
        <is>
          <t>Enterprise</t>
        </is>
      </c>
      <c r="D9" t="inlineStr">
        <is>
          <t>Healthy</t>
        </is>
      </c>
      <c r="E9" s="21" t="n">
        <v>132000</v>
      </c>
      <c r="F9" t="n">
        <v>87</v>
      </c>
      <c r="G9" t="n">
        <v>9</v>
      </c>
      <c r="H9" s="17" t="n">
        <v>4.3</v>
      </c>
      <c r="I9" s="17" t="n">
        <v>2.7</v>
      </c>
      <c r="J9" s="22" t="n">
        <v>46417</v>
      </c>
    </row>
    <row r="10">
      <c r="A10" t="inlineStr">
        <is>
          <t>CS-009</t>
        </is>
      </c>
      <c r="B10" t="inlineStr">
        <is>
          <t>Orbit Education</t>
        </is>
      </c>
      <c r="C10" t="inlineStr">
        <is>
          <t>SMB</t>
        </is>
      </c>
      <c r="D10" t="inlineStr">
        <is>
          <t>At Risk</t>
        </is>
      </c>
      <c r="E10" s="21" t="n">
        <v>27000</v>
      </c>
      <c r="F10" t="n">
        <v>63</v>
      </c>
      <c r="G10" t="n">
        <v>19</v>
      </c>
      <c r="H10" s="17" t="n">
        <v>3.7</v>
      </c>
      <c r="I10" s="17" t="n">
        <v>5.8</v>
      </c>
      <c r="J10" s="22" t="n">
        <v>46325</v>
      </c>
    </row>
    <row r="11">
      <c r="A11" t="inlineStr">
        <is>
          <t>CS-010</t>
        </is>
      </c>
      <c r="B11" t="inlineStr">
        <is>
          <t>Greenline Tech</t>
        </is>
      </c>
      <c r="C11" t="inlineStr">
        <is>
          <t>Mid-Market</t>
        </is>
      </c>
      <c r="D11" t="inlineStr">
        <is>
          <t>Healthy</t>
        </is>
      </c>
      <c r="E11" s="21" t="n">
        <v>71000</v>
      </c>
      <c r="F11" t="n">
        <v>91</v>
      </c>
      <c r="G11" t="n">
        <v>7</v>
      </c>
      <c r="H11" s="17" t="n">
        <v>4.6</v>
      </c>
      <c r="I11" s="17" t="n">
        <v>2</v>
      </c>
      <c r="J11" s="22" t="n">
        <v>46527</v>
      </c>
    </row>
    <row r="12">
      <c r="A12" t="inlineStr">
        <is>
          <t>CS-011</t>
        </is>
      </c>
      <c r="B12" t="inlineStr">
        <is>
          <t>BluePeak Travel</t>
        </is>
      </c>
      <c r="C12" t="inlineStr">
        <is>
          <t>SMB</t>
        </is>
      </c>
      <c r="D12" t="inlineStr">
        <is>
          <t>Healthy</t>
        </is>
      </c>
      <c r="E12" s="21" t="n">
        <v>29000</v>
      </c>
      <c r="F12" t="n">
        <v>83</v>
      </c>
      <c r="G12" t="n">
        <v>11</v>
      </c>
      <c r="H12" s="17" t="n">
        <v>4.2</v>
      </c>
      <c r="I12" s="17" t="n">
        <v>3.4</v>
      </c>
      <c r="J12" s="22" t="n">
        <v>46432</v>
      </c>
    </row>
    <row r="13">
      <c r="A13" t="inlineStr">
        <is>
          <t>CS-012</t>
        </is>
      </c>
      <c r="B13" t="inlineStr">
        <is>
          <t>Cedar Manufacturing</t>
        </is>
      </c>
      <c r="C13" t="inlineStr">
        <is>
          <t>Enterprise</t>
        </is>
      </c>
      <c r="D13" t="inlineStr">
        <is>
          <t>Healthy</t>
        </is>
      </c>
      <c r="E13" s="21" t="n">
        <v>156000</v>
      </c>
      <c r="F13" t="n">
        <v>89</v>
      </c>
      <c r="G13" t="n">
        <v>13</v>
      </c>
      <c r="H13" s="17" t="n">
        <v>4.5</v>
      </c>
      <c r="I13" s="17" t="n">
        <v>2.5</v>
      </c>
      <c r="J13" s="22" t="n">
        <v>46546</v>
      </c>
    </row>
    <row r="14">
      <c r="A14" t="inlineStr">
        <is>
          <t>CS-013</t>
        </is>
      </c>
      <c r="B14" t="inlineStr">
        <is>
          <t>Metro Services</t>
        </is>
      </c>
      <c r="C14" t="inlineStr">
        <is>
          <t>Mid-Market</t>
        </is>
      </c>
      <c r="D14" t="inlineStr">
        <is>
          <t>At Risk</t>
        </is>
      </c>
      <c r="E14" s="21" t="n">
        <v>64000</v>
      </c>
      <c r="F14" t="n">
        <v>67</v>
      </c>
      <c r="G14" t="n">
        <v>27</v>
      </c>
      <c r="H14" s="17" t="n">
        <v>3.9</v>
      </c>
      <c r="I14" s="17" t="n">
        <v>5.1</v>
      </c>
      <c r="J14" s="22" t="n">
        <v>46331</v>
      </c>
    </row>
    <row r="15">
      <c r="A15" t="inlineStr">
        <is>
          <t>CS-014</t>
        </is>
      </c>
      <c r="B15" t="inlineStr">
        <is>
          <t>Silverline Legal</t>
        </is>
      </c>
      <c r="C15" t="inlineStr">
        <is>
          <t>SMB</t>
        </is>
      </c>
      <c r="D15" t="inlineStr">
        <is>
          <t>Healthy</t>
        </is>
      </c>
      <c r="E15" s="21" t="n">
        <v>35000</v>
      </c>
      <c r="F15" t="n">
        <v>86</v>
      </c>
      <c r="G15" t="n">
        <v>5</v>
      </c>
      <c r="H15" s="17" t="n">
        <v>4.7</v>
      </c>
      <c r="I15" s="17" t="n">
        <v>2.4</v>
      </c>
      <c r="J15" s="22" t="n">
        <v>46468</v>
      </c>
    </row>
    <row r="16">
      <c r="A16" t="inlineStr">
        <is>
          <t>CS-015</t>
        </is>
      </c>
      <c r="B16" t="inlineStr">
        <is>
          <t>Apex Security</t>
        </is>
      </c>
      <c r="C16" t="inlineStr">
        <is>
          <t>Enterprise</t>
        </is>
      </c>
      <c r="D16" t="inlineStr">
        <is>
          <t>Healthy</t>
        </is>
      </c>
      <c r="E16" s="21" t="n">
        <v>119000</v>
      </c>
      <c r="F16" t="n">
        <v>93</v>
      </c>
      <c r="G16" t="n">
        <v>8</v>
      </c>
      <c r="H16" s="17" t="n">
        <v>4.6</v>
      </c>
      <c r="I16" s="17" t="n">
        <v>1.8</v>
      </c>
      <c r="J16" s="22" t="n">
        <v>46585</v>
      </c>
    </row>
    <row r="17">
      <c r="A17" t="inlineStr">
        <is>
          <t>CS-016</t>
        </is>
      </c>
      <c r="B17" t="inlineStr">
        <is>
          <t>Harbor Telecom</t>
        </is>
      </c>
      <c r="C17" t="inlineStr">
        <is>
          <t>Mid-Market</t>
        </is>
      </c>
      <c r="D17" t="inlineStr">
        <is>
          <t>Healthy</t>
        </is>
      </c>
      <c r="E17" s="21" t="n">
        <v>78000</v>
      </c>
      <c r="F17" t="n">
        <v>84</v>
      </c>
      <c r="G17" t="n">
        <v>15</v>
      </c>
      <c r="H17" s="17" t="n">
        <v>4.1</v>
      </c>
      <c r="I17" s="17" t="n">
        <v>3.6</v>
      </c>
      <c r="J17" s="22" t="n">
        <v>46394</v>
      </c>
    </row>
    <row r="18">
      <c r="A18" t="inlineStr">
        <is>
          <t>CS-017</t>
        </is>
      </c>
      <c r="B18" t="inlineStr">
        <is>
          <t>Meadow Hospitality</t>
        </is>
      </c>
      <c r="C18" t="inlineStr">
        <is>
          <t>SMB</t>
        </is>
      </c>
      <c r="D18" t="inlineStr">
        <is>
          <t>At Risk</t>
        </is>
      </c>
      <c r="E18" s="21" t="n">
        <v>24000</v>
      </c>
      <c r="F18" t="n">
        <v>59</v>
      </c>
      <c r="G18" t="n">
        <v>22</v>
      </c>
      <c r="H18" s="17" t="n">
        <v>3.5</v>
      </c>
      <c r="I18" s="17" t="n">
        <v>6.7</v>
      </c>
      <c r="J18" s="22" t="n">
        <v>46310</v>
      </c>
    </row>
    <row r="19">
      <c r="A19" t="inlineStr">
        <is>
          <t>CS-018</t>
        </is>
      </c>
      <c r="B19" t="inlineStr">
        <is>
          <t>Northstar Commerce</t>
        </is>
      </c>
      <c r="C19" t="inlineStr">
        <is>
          <t>Enterprise</t>
        </is>
      </c>
      <c r="D19" t="inlineStr">
        <is>
          <t>Healthy</t>
        </is>
      </c>
      <c r="E19" s="21" t="n">
        <v>141000</v>
      </c>
      <c r="F19" t="n">
        <v>95</v>
      </c>
      <c r="G19" t="n">
        <v>6</v>
      </c>
      <c r="H19" s="17" t="n">
        <v>4.9</v>
      </c>
      <c r="I19" s="17" t="n">
        <v>1.6</v>
      </c>
      <c r="J19" s="22" t="n">
        <v>46600</v>
      </c>
    </row>
    <row r="20">
      <c r="A20" t="inlineStr">
        <is>
          <t>CS-019</t>
        </is>
      </c>
      <c r="B20" t="inlineStr">
        <is>
          <t>Everest Consulting</t>
        </is>
      </c>
      <c r="C20" t="inlineStr">
        <is>
          <t>Mid-Market</t>
        </is>
      </c>
      <c r="D20" t="inlineStr">
        <is>
          <t>Healthy</t>
        </is>
      </c>
      <c r="E20" s="21" t="n">
        <v>73000</v>
      </c>
      <c r="F20" t="n">
        <v>90</v>
      </c>
      <c r="G20" t="n">
        <v>9</v>
      </c>
      <c r="H20" s="17" t="n">
        <v>4.5</v>
      </c>
      <c r="I20" s="17" t="n">
        <v>2.2</v>
      </c>
      <c r="J20" s="22" t="n">
        <v>46506</v>
      </c>
    </row>
    <row r="21">
      <c r="A21" t="inlineStr">
        <is>
          <t>CS-020</t>
        </is>
      </c>
      <c r="B21" t="inlineStr">
        <is>
          <t>Lighthouse SaaS</t>
        </is>
      </c>
      <c r="C21" t="inlineStr">
        <is>
          <t>SMB</t>
        </is>
      </c>
      <c r="D21" t="inlineStr">
        <is>
          <t>Healthy</t>
        </is>
      </c>
      <c r="E21" s="21" t="n">
        <v>39000</v>
      </c>
      <c r="F21" t="n">
        <v>87</v>
      </c>
      <c r="G21" t="n">
        <v>12</v>
      </c>
      <c r="H21" s="17" t="n">
        <v>4.4</v>
      </c>
      <c r="I21" s="17" t="n">
        <v>2.9</v>
      </c>
      <c r="J21" s="22" t="n">
        <v>46510</v>
      </c>
    </row>
  </sheetData>
  <autoFilter ref="A1:J21"/>
  <conditionalFormatting sqref="F2:F21">
    <cfRule type="colorScale" priority="1">
      <colorScale>
        <cfvo type="num" val="50"/>
        <cfvo type="num" val="75"/>
        <cfvo type="num" val="100"/>
        <color rgb="00F4CCCC"/>
        <color rgb="00FFF2CC"/>
        <color rgb="00E2F0D9"/>
      </colorScale>
    </cfRule>
  </conditionalFormatting>
  <conditionalFormatting sqref="D2:D21">
    <cfRule type="expression" priority="2" dxfId="0">
      <formula>D2="At Risk"</formula>
    </cfRule>
    <cfRule type="expression" priority="3" dxfId="1">
      <formula>D2="Healthy"</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s>
  <sheetData>
    <row r="1">
      <c r="A1" s="23" t="inlineStr">
        <is>
          <t>Month</t>
        </is>
      </c>
      <c r="B1" s="23" t="inlineStr">
        <is>
          <t>Active Customers</t>
        </is>
      </c>
      <c r="C1" s="23" t="inlineStr">
        <is>
          <t>Retention %</t>
        </is>
      </c>
      <c r="D1" s="23" t="inlineStr">
        <is>
          <t>Avg CSAT</t>
        </is>
      </c>
      <c r="E1" s="23" t="inlineStr">
        <is>
          <t>Tickets</t>
        </is>
      </c>
      <c r="F1" s="23" t="inlineStr">
        <is>
          <t>Avg Resolution Hrs</t>
        </is>
      </c>
    </row>
    <row r="2">
      <c r="A2" t="inlineStr">
        <is>
          <t>Apr</t>
        </is>
      </c>
      <c r="B2" t="n">
        <v>96</v>
      </c>
      <c r="C2" s="16" t="n">
        <v>0.95</v>
      </c>
      <c r="D2" s="17" t="n">
        <v>4.2</v>
      </c>
      <c r="E2" t="n">
        <v>210</v>
      </c>
      <c r="F2" s="17" t="n">
        <v>8</v>
      </c>
    </row>
    <row r="3">
      <c r="A3" t="inlineStr">
        <is>
          <t>May</t>
        </is>
      </c>
      <c r="B3" t="n">
        <v>98</v>
      </c>
      <c r="C3" s="16" t="n">
        <v>0.96</v>
      </c>
      <c r="D3" s="17" t="n">
        <v>4.3</v>
      </c>
      <c r="E3" t="n">
        <v>218</v>
      </c>
      <c r="F3" s="17" t="n">
        <v>7.4</v>
      </c>
    </row>
    <row r="4">
      <c r="A4" t="inlineStr">
        <is>
          <t>Jun</t>
        </is>
      </c>
      <c r="B4" t="n">
        <v>101</v>
      </c>
      <c r="C4" s="16" t="n">
        <v>0.97</v>
      </c>
      <c r="D4" s="17" t="n">
        <v>4.4</v>
      </c>
      <c r="E4" t="n">
        <v>226</v>
      </c>
      <c r="F4" s="17" t="n">
        <v>6.9</v>
      </c>
    </row>
    <row r="5">
      <c r="A5" t="inlineStr">
        <is>
          <t>Jul</t>
        </is>
      </c>
      <c r="B5" t="n">
        <v>104</v>
      </c>
      <c r="C5" s="16" t="n">
        <v>0.975</v>
      </c>
      <c r="D5" s="17" t="n">
        <v>4.5</v>
      </c>
      <c r="E5" t="n">
        <v>234</v>
      </c>
      <c r="F5" s="17" t="n">
        <v>6.4</v>
      </c>
    </row>
    <row r="6">
      <c r="A6" t="inlineStr">
        <is>
          <t>Aug</t>
        </is>
      </c>
      <c r="B6" t="n">
        <v>107</v>
      </c>
      <c r="C6" s="16" t="n">
        <v>0.98</v>
      </c>
      <c r="D6" s="17" t="n">
        <v>4.6</v>
      </c>
      <c r="E6" t="n">
        <v>242</v>
      </c>
      <c r="F6" s="17" t="n">
        <v>5.9</v>
      </c>
    </row>
    <row r="7">
      <c r="A7" t="inlineStr">
        <is>
          <t>Sep</t>
        </is>
      </c>
      <c r="B7" t="n">
        <v>110</v>
      </c>
      <c r="C7" s="16" t="n">
        <v>0.985</v>
      </c>
      <c r="D7" s="17" t="n">
        <v>4.7</v>
      </c>
      <c r="E7" t="n">
        <v>250</v>
      </c>
      <c r="F7" s="17"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6" customWidth="1" min="1" max="1"/>
    <col width="95" customWidth="1" min="2" max="2"/>
  </cols>
  <sheetData>
    <row r="1">
      <c r="A1" s="24" t="inlineStr">
        <is>
          <t>Customer Success Dashboard — GitHub Project</t>
        </is>
      </c>
    </row>
    <row r="2"/>
    <row r="4">
      <c r="A4" s="25" t="inlineStr">
        <is>
          <t>Project Type</t>
        </is>
      </c>
      <c r="B4" s="26" t="inlineStr">
        <is>
          <t>Customer Success Analytics / Excel Dashboard</t>
        </is>
      </c>
    </row>
    <row r="5">
      <c r="A5" s="25" t="inlineStr">
        <is>
          <t>Tools</t>
        </is>
      </c>
      <c r="B5" s="26" t="inlineStr">
        <is>
          <t>Microsoft Excel</t>
        </is>
      </c>
    </row>
    <row r="6">
      <c r="A6" s="25" t="inlineStr">
        <is>
          <t>Data</t>
        </is>
      </c>
      <c r="B6" s="26" t="inlineStr">
        <is>
          <t>Fictional sample customer portfolio data</t>
        </is>
      </c>
    </row>
    <row r="7">
      <c r="A7" s="25" t="inlineStr">
        <is>
          <t>Purpose</t>
        </is>
      </c>
      <c r="B7" s="26" t="inlineStr">
        <is>
          <t>Demonstrate customer health monitoring, retention analysis, support analytics, and renewal tracking.</t>
        </is>
      </c>
    </row>
    <row r="8">
      <c r="A8" s="25" t="inlineStr">
        <is>
          <t>Key Metrics</t>
        </is>
      </c>
      <c r="B8" s="26" t="inlineStr">
        <is>
          <t>Customer count, healthy vs. at-risk accounts, retention rate, contract value, CSAT, support tickets, resolution time, and upcoming renewals.</t>
        </is>
      </c>
    </row>
    <row r="9">
      <c r="A9" s="25" t="inlineStr">
        <is>
          <t>Skills Demonstrated</t>
        </is>
      </c>
      <c r="B9" s="26" t="inlineStr">
        <is>
          <t>Excel formulas, KPI design, conditional formatting, data visualization, trend analysis, and business reporting.</t>
        </is>
      </c>
    </row>
    <row r="10">
      <c r="A10" s="25" t="inlineStr">
        <is>
          <t>Portfolio Note</t>
        </is>
      </c>
      <c r="B10" s="26" t="inlineStr">
        <is>
          <t>No employer or confidential customer data is used.</t>
        </is>
      </c>
    </row>
    <row r="11">
      <c r="A11" s="25" t="inlineStr">
        <is>
          <t>GitHub Repository</t>
        </is>
      </c>
      <c r="B11" s="26" t="inlineStr">
        <is>
          <t>customer-success-dashboard</t>
        </is>
      </c>
    </row>
    <row r="12">
      <c r="A12" s="25" t="inlineStr">
        <is>
          <t>Repository Description</t>
        </is>
      </c>
      <c r="B12" s="26" t="inlineStr">
        <is>
          <t>Customer Success analytics dashboard showcasing customer health, retention, support metrics, and performance trends.</t>
        </is>
      </c>
    </row>
  </sheetData>
  <mergeCells count="1">
    <mergeCell ref="A1:F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Portfolio Project</dc:creator>
  <dc:title xmlns:dc="http://purl.org/dc/elements/1.1/">Customer Success Dashboard</dc:title>
  <dc:subject xmlns:dc="http://purl.org/dc/elements/1.1/">Fictional Customer Success analytics portfolio project</dc:subject>
  <dcterms:created xmlns:dcterms="http://purl.org/dc/terms/" xmlns:xsi="http://www.w3.org/2001/XMLSchema-instance" xsi:type="dcterms:W3CDTF">2026-09-17T20:03:51Z</dcterms:created>
  <dcterms:modified xmlns:dcterms="http://purl.org/dc/terms/" xmlns:xsi="http://www.w3.org/2001/XMLSchema-instance" xsi:type="dcterms:W3CDTF">2026-09-17T20:03:51Z</dcterms:modified>
</cp:coreProperties>
</file>